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[Red](₹#,##0);₹#,##0;&quot;-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0" fontId="3" fillId="0" borderId="1" pivotButton="0" quotePrefix="0" xfId="0"/>
    <xf numFmtId="165" fontId="0" fillId="3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0" fontId="0" fillId="0" borderId="1" pivotButton="0" quotePrefix="0" xfId="0"/>
    <xf numFmtId="165" fontId="0" fillId="0" borderId="1" applyAlignment="1" pivotButton="0" quotePrefix="0" xfId="0">
      <alignment horizontal="right"/>
    </xf>
    <xf numFmtId="10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Trend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'Summary'!G12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'Summary'!$D$13:$D$16</f>
            </numRef>
          </cat>
          <val>
            <numRef>
              <f>'Summary'!$G$13:$G$16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Category Mix</a:t>
            </a:r>
          </a:p>
        </rich>
      </tx>
    </title>
    <plotArea>
      <pieChart>
        <varyColors val="1"/>
        <ser>
          <idx val="0"/>
          <order val="0"/>
          <tx>
            <strRef>
              <f>'Summary'!B12</f>
            </strRef>
          </tx>
          <spPr>
            <a:ln>
              <a:prstDash val="solid"/>
            </a:ln>
          </spPr>
          <cat>
            <numRef>
              <f>'Summary'!$A$13:$A$21</f>
            </numRef>
          </cat>
          <val>
            <numRef>
              <f>'Summary'!$B$13:$B$21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Business Income vs Expense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'Summary'!E4</f>
            </strRef>
          </tx>
          <spPr>
            <a:ln>
              <a:prstDash val="solid"/>
            </a:ln>
          </spPr>
          <cat>
            <numRef>
              <f>'Summary'!$D$5:$D$8</f>
            </numRef>
          </cat>
          <val>
            <numRef>
              <f>'Summary'!$E$5:$E$8</f>
            </numRef>
          </val>
        </ser>
        <ser>
          <idx val="1"/>
          <order val="1"/>
          <tx>
            <strRef>
              <f>'Summary'!F4</f>
            </strRef>
          </tx>
          <spPr>
            <a:ln>
              <a:prstDash val="solid"/>
            </a:ln>
          </spPr>
          <cat>
            <numRef>
              <f>'Summary'!$D$5:$D$8</f>
            </numRef>
          </cat>
          <val>
            <numRef>
              <f>'Summary'!$F$5:$F$8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Business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36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</row>
      <rowOff>0</rowOff>
    </from>
    <ext cx="43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5" customWidth="1" min="4" max="4"/>
    <col width="16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Business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Amount (INR)</t>
        </is>
      </c>
      <c r="F1" s="1" t="inlineStr">
        <is>
          <t>Month</t>
        </is>
      </c>
    </row>
    <row r="2">
      <c r="A2" s="2" t="inlineStr">
        <is>
          <t>2026-03-18</t>
        </is>
      </c>
      <c r="B2" t="inlineStr">
        <is>
          <t>Cafe</t>
        </is>
      </c>
      <c r="C2" t="inlineStr">
        <is>
          <t>Income</t>
        </is>
      </c>
      <c r="D2" t="inlineStr">
        <is>
          <t>Sales</t>
        </is>
      </c>
      <c r="E2" s="3" t="n">
        <v>14250</v>
      </c>
      <c r="F2">
        <f>TEXT(A2,"mmm-yy")</f>
        <v/>
      </c>
    </row>
    <row r="3">
      <c r="A3" s="2" t="inlineStr">
        <is>
          <t>2026-03-18</t>
        </is>
      </c>
      <c r="B3" t="inlineStr">
        <is>
          <t>Travel</t>
        </is>
      </c>
      <c r="C3" t="inlineStr">
        <is>
          <t>Expense</t>
        </is>
      </c>
      <c r="D3" t="inlineStr">
        <is>
          <t>Fuel</t>
        </is>
      </c>
      <c r="E3" s="3" t="n">
        <v>3200</v>
      </c>
      <c r="F3">
        <f>TEXT(A3,"mmm-yy")</f>
        <v/>
      </c>
    </row>
    <row r="4">
      <c r="A4" s="2" t="inlineStr">
        <is>
          <t>2026-03-17</t>
        </is>
      </c>
      <c r="B4" t="inlineStr">
        <is>
          <t>Textile</t>
        </is>
      </c>
      <c r="C4" t="inlineStr">
        <is>
          <t>Income</t>
        </is>
      </c>
      <c r="D4" t="inlineStr">
        <is>
          <t>Wholesale</t>
        </is>
      </c>
      <c r="E4" s="3" t="n">
        <v>22100</v>
      </c>
      <c r="F4">
        <f>TEXT(A4,"mmm-yy")</f>
        <v/>
      </c>
    </row>
    <row r="5">
      <c r="A5" s="2" t="inlineStr">
        <is>
          <t>2026-03-17</t>
        </is>
      </c>
      <c r="B5" t="inlineStr">
        <is>
          <t>Hardware</t>
        </is>
      </c>
      <c r="C5" t="inlineStr">
        <is>
          <t>Expense</t>
        </is>
      </c>
      <c r="D5" t="inlineStr">
        <is>
          <t>Inventory</t>
        </is>
      </c>
      <c r="E5" s="3" t="n">
        <v>8900</v>
      </c>
      <c r="F5">
        <f>TEXT(A5,"mmm-yy")</f>
        <v/>
      </c>
    </row>
    <row r="6">
      <c r="A6" s="2" t="inlineStr">
        <is>
          <t>2026-03-16</t>
        </is>
      </c>
      <c r="B6" t="inlineStr">
        <is>
          <t>Cafe</t>
        </is>
      </c>
      <c r="C6" t="inlineStr">
        <is>
          <t>Expense</t>
        </is>
      </c>
      <c r="D6" t="inlineStr">
        <is>
          <t>Supplies</t>
        </is>
      </c>
      <c r="E6" s="3" t="n">
        <v>2800</v>
      </c>
      <c r="F6">
        <f>TEXT(A6,"mmm-yy")</f>
        <v/>
      </c>
    </row>
    <row r="7">
      <c r="A7" s="2" t="inlineStr">
        <is>
          <t>2026-03-15</t>
        </is>
      </c>
      <c r="B7" t="inlineStr">
        <is>
          <t>Travel</t>
        </is>
      </c>
      <c r="C7" t="inlineStr">
        <is>
          <t>Income</t>
        </is>
      </c>
      <c r="D7" t="inlineStr">
        <is>
          <t>Packages</t>
        </is>
      </c>
      <c r="E7" s="3" t="n">
        <v>18100</v>
      </c>
      <c r="F7">
        <f>TEXT(A7,"mmm-yy")</f>
        <v/>
      </c>
    </row>
    <row r="8">
      <c r="A8" s="2" t="inlineStr">
        <is>
          <t>2026-03-14</t>
        </is>
      </c>
      <c r="B8" t="inlineStr">
        <is>
          <t>Hardware</t>
        </is>
      </c>
      <c r="C8" t="inlineStr">
        <is>
          <t>Income</t>
        </is>
      </c>
      <c r="D8" t="inlineStr">
        <is>
          <t>Retail</t>
        </is>
      </c>
      <c r="E8" s="3" t="n">
        <v>26400</v>
      </c>
      <c r="F8">
        <f>TEXT(A8,"mmm-yy")</f>
        <v/>
      </c>
    </row>
    <row r="9">
      <c r="A9" s="2" t="inlineStr">
        <is>
          <t>2026-03-14</t>
        </is>
      </c>
      <c r="B9" t="inlineStr">
        <is>
          <t>Textile</t>
        </is>
      </c>
      <c r="C9" t="inlineStr">
        <is>
          <t>Expense</t>
        </is>
      </c>
      <c r="D9" t="inlineStr">
        <is>
          <t>Logistics</t>
        </is>
      </c>
      <c r="E9" s="3" t="n">
        <v>11900</v>
      </c>
      <c r="F9">
        <f>TEXT(A9,"mmm-yy")</f>
        <v/>
      </c>
    </row>
    <row r="10">
      <c r="A10" s="2" t="inlineStr">
        <is>
          <t>2026-02-28</t>
        </is>
      </c>
      <c r="B10" t="inlineStr">
        <is>
          <t>Cafe</t>
        </is>
      </c>
      <c r="C10" t="inlineStr">
        <is>
          <t>Income</t>
        </is>
      </c>
      <c r="D10" t="inlineStr">
        <is>
          <t>Sales</t>
        </is>
      </c>
      <c r="E10" s="3" t="n">
        <v>12600</v>
      </c>
      <c r="F10">
        <f>TEXT(A10,"mmm-yy")</f>
        <v/>
      </c>
    </row>
    <row r="11">
      <c r="A11" s="2" t="inlineStr">
        <is>
          <t>2026-02-25</t>
        </is>
      </c>
      <c r="B11" t="inlineStr">
        <is>
          <t>Travel</t>
        </is>
      </c>
      <c r="C11" t="inlineStr">
        <is>
          <t>Expense</t>
        </is>
      </c>
      <c r="D11" t="inlineStr">
        <is>
          <t>Marketing</t>
        </is>
      </c>
      <c r="E11" s="3" t="n">
        <v>4600</v>
      </c>
      <c r="F11">
        <f>TEXT(A11,"mmm-yy")</f>
        <v/>
      </c>
    </row>
    <row r="12">
      <c r="A12" s="2" t="inlineStr">
        <is>
          <t>2026-02-19</t>
        </is>
      </c>
      <c r="B12" t="inlineStr">
        <is>
          <t>Textile</t>
        </is>
      </c>
      <c r="C12" t="inlineStr">
        <is>
          <t>Income</t>
        </is>
      </c>
      <c r="D12" t="inlineStr">
        <is>
          <t>Wholesale</t>
        </is>
      </c>
      <c r="E12" s="3" t="n">
        <v>19700</v>
      </c>
      <c r="F12">
        <f>TEXT(A12,"mmm-yy")</f>
        <v/>
      </c>
    </row>
    <row r="13">
      <c r="A13" s="2" t="inlineStr">
        <is>
          <t>2026-02-13</t>
        </is>
      </c>
      <c r="B13" t="inlineStr">
        <is>
          <t>Hardware</t>
        </is>
      </c>
      <c r="C13" t="inlineStr">
        <is>
          <t>Expense</t>
        </is>
      </c>
      <c r="D13" t="inlineStr">
        <is>
          <t>Rent</t>
        </is>
      </c>
      <c r="E13" s="3" t="n">
        <v>7100</v>
      </c>
      <c r="F13">
        <f>TEXT(A13,"mmm-yy")</f>
        <v/>
      </c>
    </row>
    <row r="14">
      <c r="A14" s="2" t="inlineStr">
        <is>
          <t>2026-01-26</t>
        </is>
      </c>
      <c r="B14" t="inlineStr">
        <is>
          <t>Cafe</t>
        </is>
      </c>
      <c r="C14" t="inlineStr">
        <is>
          <t>Expense</t>
        </is>
      </c>
      <c r="D14" t="inlineStr">
        <is>
          <t>Utilities</t>
        </is>
      </c>
      <c r="E14" s="3" t="n">
        <v>2300</v>
      </c>
      <c r="F14">
        <f>TEXT(A14,"mmm-yy")</f>
        <v/>
      </c>
    </row>
    <row r="15">
      <c r="A15" s="2" t="inlineStr">
        <is>
          <t>2026-01-20</t>
        </is>
      </c>
      <c r="B15" t="inlineStr">
        <is>
          <t>Travel</t>
        </is>
      </c>
      <c r="C15" t="inlineStr">
        <is>
          <t>Income</t>
        </is>
      </c>
      <c r="D15" t="inlineStr">
        <is>
          <t>Packages</t>
        </is>
      </c>
      <c r="E15" s="3" t="n">
        <v>15300</v>
      </c>
      <c r="F15">
        <f>TEXT(A15,"mmm-yy")</f>
        <v/>
      </c>
    </row>
    <row r="16">
      <c r="A16" s="2" t="inlineStr">
        <is>
          <t>2026-01-15</t>
        </is>
      </c>
      <c r="B16" t="inlineStr">
        <is>
          <t>Textile</t>
        </is>
      </c>
      <c r="C16" t="inlineStr">
        <is>
          <t>Expense</t>
        </is>
      </c>
      <c r="D16" t="inlineStr">
        <is>
          <t>Payroll</t>
        </is>
      </c>
      <c r="E16" s="3" t="n">
        <v>8600</v>
      </c>
      <c r="F16">
        <f>TEXT(A16,"mmm-yy")</f>
        <v/>
      </c>
    </row>
    <row r="17">
      <c r="A17" s="2" t="inlineStr">
        <is>
          <t>2026-01-09</t>
        </is>
      </c>
      <c r="B17" t="inlineStr">
        <is>
          <t>Hardware</t>
        </is>
      </c>
      <c r="C17" t="inlineStr">
        <is>
          <t>Income</t>
        </is>
      </c>
      <c r="D17" t="inlineStr">
        <is>
          <t>Retail</t>
        </is>
      </c>
      <c r="E17" s="3" t="n">
        <v>21000</v>
      </c>
      <c r="F17">
        <f>TEXT(A17,"mmm-yy")</f>
        <v/>
      </c>
    </row>
    <row r="18">
      <c r="A18" s="2" t="inlineStr">
        <is>
          <t>2025-12-26</t>
        </is>
      </c>
      <c r="B18" t="inlineStr">
        <is>
          <t>Cafe</t>
        </is>
      </c>
      <c r="C18" t="inlineStr">
        <is>
          <t>Income</t>
        </is>
      </c>
      <c r="D18" t="inlineStr">
        <is>
          <t>Sales</t>
        </is>
      </c>
      <c r="E18" s="3" t="n">
        <v>11800</v>
      </c>
      <c r="F18">
        <f>TEXT(A18,"mmm-yy")</f>
        <v/>
      </c>
    </row>
    <row r="19">
      <c r="A19" s="2" t="inlineStr">
        <is>
          <t>2025-12-17</t>
        </is>
      </c>
      <c r="B19" t="inlineStr">
        <is>
          <t>Travel</t>
        </is>
      </c>
      <c r="C19" t="inlineStr">
        <is>
          <t>Expense</t>
        </is>
      </c>
      <c r="D19" t="inlineStr">
        <is>
          <t>Maintenance</t>
        </is>
      </c>
      <c r="E19" s="3" t="n">
        <v>5100</v>
      </c>
      <c r="F19">
        <f>TEXT(A19,"mmm-yy")</f>
        <v/>
      </c>
    </row>
    <row r="20">
      <c r="A20" s="2" t="inlineStr">
        <is>
          <t>2025-12-10</t>
        </is>
      </c>
      <c r="B20" t="inlineStr">
        <is>
          <t>Textile</t>
        </is>
      </c>
      <c r="C20" t="inlineStr">
        <is>
          <t>Income</t>
        </is>
      </c>
      <c r="D20" t="inlineStr">
        <is>
          <t>Bulk</t>
        </is>
      </c>
      <c r="E20" s="3" t="n">
        <v>17350</v>
      </c>
      <c r="F20">
        <f>TEXT(A20,"mmm-yy")</f>
        <v/>
      </c>
    </row>
    <row r="21">
      <c r="A21" s="2" t="inlineStr">
        <is>
          <t>2025-12-02</t>
        </is>
      </c>
      <c r="B21" t="inlineStr">
        <is>
          <t>Hardware</t>
        </is>
      </c>
      <c r="C21" t="inlineStr">
        <is>
          <t>Expense</t>
        </is>
      </c>
      <c r="D21" t="inlineStr">
        <is>
          <t>Inventory</t>
        </is>
      </c>
      <c r="E21" s="3" t="n">
        <v>6200</v>
      </c>
      <c r="F21">
        <f>TEXT(A21,"mmm-yy")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4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Expense &amp; Profit Tracker - Advanced Summary</t>
        </is>
      </c>
    </row>
    <row r="3">
      <c r="A3" s="5" t="inlineStr">
        <is>
          <t>KPI</t>
        </is>
      </c>
      <c r="B3" s="6" t="inlineStr">
        <is>
          <t>Value</t>
        </is>
      </c>
      <c r="D3" s="5" t="inlineStr">
        <is>
          <t>Business Comparison</t>
        </is>
      </c>
    </row>
    <row r="4">
      <c r="A4" s="7" t="inlineStr">
        <is>
          <t>Total Revenue</t>
        </is>
      </c>
      <c r="B4" s="8">
        <f>SUMIFS(Transactions!E:E,Transactions!C:C,"Income")</f>
        <v/>
      </c>
      <c r="D4" s="9" t="inlineStr">
        <is>
          <t>Business</t>
        </is>
      </c>
      <c r="E4" s="10" t="inlineStr">
        <is>
          <t>Income (INR)</t>
        </is>
      </c>
      <c r="F4" s="10" t="inlineStr">
        <is>
          <t>Expense (INR)</t>
        </is>
      </c>
      <c r="G4" s="10" t="inlineStr">
        <is>
          <t>Profit (INR)</t>
        </is>
      </c>
    </row>
    <row r="5">
      <c r="A5" s="7" t="inlineStr">
        <is>
          <t>Total Expenses</t>
        </is>
      </c>
      <c r="B5" s="8">
        <f>SUMIFS(Transactions!E:E,Transactions!C:C,"Expense")</f>
        <v/>
      </c>
      <c r="D5" s="11" t="inlineStr">
        <is>
          <t>Cafe</t>
        </is>
      </c>
      <c r="E5" s="12">
        <f>SUMIFS(Transactions!E:E,Transactions!B:B,D5,Transactions!C:C,"Income")</f>
        <v/>
      </c>
      <c r="F5" s="12">
        <f>SUMIFS(Transactions!E:E,Transactions!B:B,D5,Transactions!C:C,"Expense")</f>
        <v/>
      </c>
      <c r="G5" s="12">
        <f>E5-F5</f>
        <v/>
      </c>
    </row>
    <row r="6">
      <c r="A6" s="7" t="inlineStr">
        <is>
          <t>Net Profit</t>
        </is>
      </c>
      <c r="B6" s="8">
        <f>B4-B5</f>
        <v/>
      </c>
      <c r="D6" s="11" t="inlineStr">
        <is>
          <t>Travel</t>
        </is>
      </c>
      <c r="E6" s="12">
        <f>SUMIFS(Transactions!E:E,Transactions!B:B,D6,Transactions!C:C,"Income")</f>
        <v/>
      </c>
      <c r="F6" s="12">
        <f>SUMIFS(Transactions!E:E,Transactions!B:B,D6,Transactions!C:C,"Expense")</f>
        <v/>
      </c>
      <c r="G6" s="12">
        <f>E6-F6</f>
        <v/>
      </c>
    </row>
    <row r="7">
      <c r="A7" s="7" t="inlineStr">
        <is>
          <t>Profit Margin %</t>
        </is>
      </c>
      <c r="B7" s="13">
        <f>IFERROR(B6/B4,0)</f>
        <v/>
      </c>
      <c r="D7" s="11" t="inlineStr">
        <is>
          <t>Textile</t>
        </is>
      </c>
      <c r="E7" s="12">
        <f>SUMIFS(Transactions!E:E,Transactions!B:B,D7,Transactions!C:C,"Income")</f>
        <v/>
      </c>
      <c r="F7" s="12">
        <f>SUMIFS(Transactions!E:E,Transactions!B:B,D7,Transactions!C:C,"Expense")</f>
        <v/>
      </c>
      <c r="G7" s="12">
        <f>E7-F7</f>
        <v/>
      </c>
    </row>
    <row r="8">
      <c r="A8" s="7" t="inlineStr">
        <is>
          <t>Monthly Growth % (Mar vs Feb 2026)</t>
        </is>
      </c>
      <c r="B8" s="13">
        <f>IFERROR((SUMIFS(Transactions!E:E,Transactions!F:F,"Mar-26",Transactions!C:C,"Income")-SUMIFS(Transactions!E:E,Transactions!F:F,"Mar-26",Transactions!C:C,"Expense")-(SUMIFS(Transactions!E:E,Transactions!F:F,"Feb-26",Transactions!C:C,"Income")-SUMIFS(Transactions!E:E,Transactions!F:F,"Feb-26",Transactions!C:C,"Expense")))/ABS(SUMIFS(Transactions!E:E,Transactions!F:F,"Feb-26",Transactions!C:C,"Income")-SUMIFS(Transactions!E:E,Transactions!F:F,"Feb-26",Transactions!C:C,"Expense")),0)</f>
        <v/>
      </c>
      <c r="D8" s="11" t="inlineStr">
        <is>
          <t>Hardware</t>
        </is>
      </c>
      <c r="E8" s="12">
        <f>SUMIFS(Transactions!E:E,Transactions!B:B,D8,Transactions!C:C,"Income")</f>
        <v/>
      </c>
      <c r="F8" s="12">
        <f>SUMIFS(Transactions!E:E,Transactions!B:B,D8,Transactions!C:C,"Expense")</f>
        <v/>
      </c>
      <c r="G8" s="12">
        <f>E8-F8</f>
        <v/>
      </c>
    </row>
    <row r="9"/>
    <row r="10"/>
    <row r="11">
      <c r="A11" s="5" t="inlineStr">
        <is>
          <t>Expense by Category</t>
        </is>
      </c>
      <c r="D11" s="5" t="inlineStr">
        <is>
          <t>Monthly Trend</t>
        </is>
      </c>
    </row>
    <row r="12">
      <c r="A12" s="9" t="inlineStr">
        <is>
          <t>Category</t>
        </is>
      </c>
      <c r="B12" s="10" t="inlineStr">
        <is>
          <t>Expense (INR)</t>
        </is>
      </c>
      <c r="D12" s="9" t="inlineStr">
        <is>
          <t>Month</t>
        </is>
      </c>
      <c r="E12" s="10" t="inlineStr">
        <is>
          <t>Income (INR)</t>
        </is>
      </c>
      <c r="F12" s="10" t="inlineStr">
        <is>
          <t>Expense (INR)</t>
        </is>
      </c>
      <c r="G12" s="10" t="inlineStr">
        <is>
          <t>Profit (INR)</t>
        </is>
      </c>
    </row>
    <row r="13">
      <c r="A13" s="11" t="inlineStr">
        <is>
          <t>Fuel</t>
        </is>
      </c>
      <c r="B13" s="12">
        <f>SUMIFS(Transactions!E:E,Transactions!D:D,A13,Transactions!C:C,"Expense")</f>
        <v/>
      </c>
      <c r="D13" s="11" t="inlineStr">
        <is>
          <t>Dec-25</t>
        </is>
      </c>
      <c r="E13" s="12">
        <f>SUMIFS(Transactions!E:E,Transactions!F:F,D13,Transactions!C:C,"Income")</f>
        <v/>
      </c>
      <c r="F13" s="12">
        <f>SUMIFS(Transactions!E:E,Transactions!F:F,D13,Transactions!C:C,"Expense")</f>
        <v/>
      </c>
      <c r="G13" s="12">
        <f>E13-F13</f>
        <v/>
      </c>
    </row>
    <row r="14">
      <c r="A14" s="11" t="inlineStr">
        <is>
          <t>Inventory</t>
        </is>
      </c>
      <c r="B14" s="12">
        <f>SUMIFS(Transactions!E:E,Transactions!D:D,A14,Transactions!C:C,"Expense")</f>
        <v/>
      </c>
      <c r="D14" s="11" t="inlineStr">
        <is>
          <t>Jan-26</t>
        </is>
      </c>
      <c r="E14" s="12">
        <f>SUMIFS(Transactions!E:E,Transactions!F:F,D14,Transactions!C:C,"Income")</f>
        <v/>
      </c>
      <c r="F14" s="12">
        <f>SUMIFS(Transactions!E:E,Transactions!F:F,D14,Transactions!C:C,"Expense")</f>
        <v/>
      </c>
      <c r="G14" s="12">
        <f>E14-F14</f>
        <v/>
      </c>
    </row>
    <row r="15">
      <c r="A15" s="11" t="inlineStr">
        <is>
          <t>Supplies</t>
        </is>
      </c>
      <c r="B15" s="12">
        <f>SUMIFS(Transactions!E:E,Transactions!D:D,A15,Transactions!C:C,"Expense")</f>
        <v/>
      </c>
      <c r="D15" s="11" t="inlineStr">
        <is>
          <t>Feb-26</t>
        </is>
      </c>
      <c r="E15" s="12">
        <f>SUMIFS(Transactions!E:E,Transactions!F:F,D15,Transactions!C:C,"Income")</f>
        <v/>
      </c>
      <c r="F15" s="12">
        <f>SUMIFS(Transactions!E:E,Transactions!F:F,D15,Transactions!C:C,"Expense")</f>
        <v/>
      </c>
      <c r="G15" s="12">
        <f>E15-F15</f>
        <v/>
      </c>
    </row>
    <row r="16">
      <c r="A16" s="11" t="inlineStr">
        <is>
          <t>Logistics</t>
        </is>
      </c>
      <c r="B16" s="12">
        <f>SUMIFS(Transactions!E:E,Transactions!D:D,A16,Transactions!C:C,"Expense")</f>
        <v/>
      </c>
      <c r="D16" s="11" t="inlineStr">
        <is>
          <t>Mar-26</t>
        </is>
      </c>
      <c r="E16" s="12">
        <f>SUMIFS(Transactions!E:E,Transactions!F:F,D16,Transactions!C:C,"Income")</f>
        <v/>
      </c>
      <c r="F16" s="12">
        <f>SUMIFS(Transactions!E:E,Transactions!F:F,D16,Transactions!C:C,"Expense")</f>
        <v/>
      </c>
      <c r="G16" s="12">
        <f>E16-F16</f>
        <v/>
      </c>
    </row>
    <row r="17">
      <c r="A17" s="11" t="inlineStr">
        <is>
          <t>Marketing</t>
        </is>
      </c>
      <c r="B17" s="12">
        <f>SUMIFS(Transactions!E:E,Transactions!D:D,A17,Transactions!C:C,"Expense")</f>
        <v/>
      </c>
    </row>
    <row r="18">
      <c r="A18" s="11" t="inlineStr">
        <is>
          <t>Rent</t>
        </is>
      </c>
      <c r="B18" s="12">
        <f>SUMIFS(Transactions!E:E,Transactions!D:D,A18,Transactions!C:C,"Expense")</f>
        <v/>
      </c>
    </row>
    <row r="19">
      <c r="A19" s="11" t="inlineStr">
        <is>
          <t>Utilities</t>
        </is>
      </c>
      <c r="B19" s="12">
        <f>SUMIFS(Transactions!E:E,Transactions!D:D,A19,Transactions!C:C,"Expense")</f>
        <v/>
      </c>
    </row>
    <row r="20">
      <c r="A20" s="11" t="inlineStr">
        <is>
          <t>Payroll</t>
        </is>
      </c>
      <c r="B20" s="12">
        <f>SUMIFS(Transactions!E:E,Transactions!D:D,A20,Transactions!C:C,"Expense")</f>
        <v/>
      </c>
    </row>
    <row r="21">
      <c r="A21" t="inlineStr">
        <is>
          <t>Maintenance</t>
        </is>
      </c>
      <c r="B21" s="3">
        <f>SUMIFS(Transactions!E:E,Transactions!D:D,A21,Transactions!C:C,"Expense")</f>
        <v/>
      </c>
    </row>
  </sheetData>
  <mergeCells count="4">
    <mergeCell ref="A11:B11"/>
    <mergeCell ref="D3:G3"/>
    <mergeCell ref="D11:G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Visual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2026-03-19T19:07:29Z</dcterms:created>
  <dcterms:modified xsi:type="dcterms:W3CDTF">2026-03-19T19:07:29Z</dcterms:modified>
</cp:coreProperties>
</file>